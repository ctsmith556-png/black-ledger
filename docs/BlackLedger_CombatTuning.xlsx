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Global Tuning" sheetId="2" state="visible" r:id="rId4"/>
    <sheet name="Characters" sheetId="3" state="visible" r:id="rId5"/>
    <sheet name="Bosses" sheetId="4" state="visible" r:id="rId6"/>
    <sheet name="Weap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<sst xmlns="http://schemas.openxmlformats.org/spreadsheetml/2006/main" count="284" uniqueCount="249">
  <si>
    <t xml:space="preserve">BLACK LEDGER — Combat Tuning  (source of truth for balance)</t>
  </si>
  <si>
    <t xml:space="preserve">Tab</t>
  </si>
  <si>
    <t xml:space="preserve">What it holds</t>
  </si>
  <si>
    <t xml:space="preserve">Global Tuning</t>
  </si>
  <si>
    <t xml:space="preserve">Base values every other sheet references. Change these to re-tune the whole game.</t>
  </si>
  <si>
    <t xml:space="preserve">Characters</t>
  </si>
  <si>
    <t xml:space="preserve">The 15 launch roster + Vault. Stats obey the 24-point budget; Effective HP is derived.</t>
  </si>
  <si>
    <t xml:space="preserve">Bosses</t>
  </si>
  <si>
    <t xml:space="preserve">The 10 Collectors. Stats intentionally exceed 24; HP multiplier and phase thresholds included.</t>
  </si>
  <si>
    <t xml:space="preserve">Weapons</t>
  </si>
  <si>
    <t xml:space="preserve">The 14 shared pickups, with starting damage/cooldown values.</t>
  </si>
  <si>
    <t xml:space="preserve">Color key</t>
  </si>
  <si>
    <t xml:space="preserve">Blue text</t>
  </si>
  <si>
    <t xml:space="preserve">Hardcoded INPUT you tune (stats, base values, damage).</t>
  </si>
  <si>
    <t xml:space="preserve">Black text</t>
  </si>
  <si>
    <t xml:space="preserve">Formula / calculated value — do not edit directly.</t>
  </si>
  <si>
    <t xml:space="preserve">Green text</t>
  </si>
  <si>
    <t xml:space="preserve">Formula that pulls from another sheet (e.g., Global Tuning).</t>
  </si>
  <si>
    <t xml:space="preserve">Note</t>
  </si>
  <si>
    <t xml:space="preserve">All damage/HP numbers are PROTOTYPE starting points from Design Bible v0.3, Sections 3, 4.5 and 4.6. Tune in playtesting.</t>
  </si>
  <si>
    <t xml:space="preserve">GLOBAL TUNING — base values (blue = tunable input)</t>
  </si>
  <si>
    <t xml:space="preserve">Base vehicle HP</t>
  </si>
  <si>
    <t xml:space="preserve">Armor multiplier @ stat 1</t>
  </si>
  <si>
    <t xml:space="preserve">Armor multiplier @ stat 10</t>
  </si>
  <si>
    <t xml:space="preserve">Primary fire damage (min, /shot)</t>
  </si>
  <si>
    <t xml:space="preserve">Primary fire damage (max, /shot)</t>
  </si>
  <si>
    <t xml:space="preserve">Homing missile — direct</t>
  </si>
  <si>
    <t xml:space="preserve">Homing missile — splash</t>
  </si>
  <si>
    <t xml:space="preserve">Power missile — direct</t>
  </si>
  <si>
    <t xml:space="preserve">Power missile — splash</t>
  </si>
  <si>
    <t xml:space="preserve">Special damage (low end)</t>
  </si>
  <si>
    <t xml:space="preserve">Special damage (high end)</t>
  </si>
  <si>
    <t xml:space="preserve">Target average kill time (s)</t>
  </si>
  <si>
    <t xml:space="preserve">CHARACTERS — 15 launch + Vault  (Speed+Armor+Handling+Special = 24)</t>
  </si>
  <si>
    <t xml:space="preserve">Name</t>
  </si>
  <si>
    <t xml:space="preserve">Archetype</t>
  </si>
  <si>
    <t xml:space="preserve">Vehicle</t>
  </si>
  <si>
    <t xml:space="preserve">Special</t>
  </si>
  <si>
    <t xml:space="preserve">Speed</t>
  </si>
  <si>
    <t xml:space="preserve">Armor</t>
  </si>
  <si>
    <t xml:space="preserve">Handling</t>
  </si>
  <si>
    <t xml:space="preserve">Special Power</t>
  </si>
  <si>
    <t xml:space="preserve">Stat Total</t>
  </si>
  <si>
    <t xml:space="preserve">Budget?</t>
  </si>
  <si>
    <t xml:space="preserve">Effective HP</t>
  </si>
  <si>
    <t xml:space="preserve">Notes</t>
  </si>
  <si>
    <t xml:space="preserve">The Surgeon</t>
  </si>
  <si>
    <t xml:space="preserve">Tragic professional</t>
  </si>
  <si>
    <t xml:space="preserve">Ambulance "The Theater"</t>
  </si>
  <si>
    <t xml:space="preserve">The Operating Table</t>
  </si>
  <si>
    <t xml:space="preserve">Diagnostic field: +100% dmg vs marked, self-heal</t>
  </si>
  <si>
    <t xml:space="preserve">Hollow</t>
  </si>
  <si>
    <t xml:space="preserve">Amnesiac arsonist</t>
  </si>
  <si>
    <t xml:space="preserve">Fire engine "Pyre"</t>
  </si>
  <si>
    <t xml:space="preserve">Conflagration</t>
  </si>
  <si>
    <t xml:space="preserve">180° fire cone, 6s burn DoT + accuracy debuff</t>
  </si>
  <si>
    <t xml:space="preserve">Miss Antoinette</t>
  </si>
  <si>
    <t xml:space="preserve">Faded beauty</t>
  </si>
  <si>
    <t xml:space="preserve">Cadillac "Forever Yours"</t>
  </si>
  <si>
    <t xml:space="preserve">Powder Compact</t>
  </si>
  <si>
    <t xml:space="preserve">5s missile reflect</t>
  </si>
  <si>
    <t xml:space="preserve">The Warden</t>
  </si>
  <si>
    <t xml:space="preserve">Authority / guilt</t>
  </si>
  <si>
    <t xml:space="preserve">Prison van "The Cage"</t>
  </si>
  <si>
    <t xml:space="preserve">Solitary</t>
  </si>
  <si>
    <t xml:space="preserve">Chain: 4s full lock (2 charges)</t>
  </si>
  <si>
    <t xml:space="preserve">Pup</t>
  </si>
  <si>
    <t xml:space="preserve">Child-monster</t>
  </si>
  <si>
    <t xml:space="preserve">Ice cream truck "Sundae"</t>
  </si>
  <si>
    <t xml:space="preserve">Storytime</t>
  </si>
  <si>
    <t xml:space="preserve">6s control invert, large radius</t>
  </si>
  <si>
    <t xml:space="preserve">Crucible</t>
  </si>
  <si>
    <t xml:space="preserve">Survivor guilt</t>
  </si>
  <si>
    <t xml:space="preserve">Slag hauler "Bessemer"</t>
  </si>
  <si>
    <t xml:space="preserve">Pour</t>
  </si>
  <si>
    <t xml:space="preserve">8s molten slag zone</t>
  </si>
  <si>
    <t xml:space="preserve">The Cartographer</t>
  </si>
  <si>
    <t xml:space="preserve">Obsessive seeker</t>
  </si>
  <si>
    <t xml:space="preserve">Wagon "True North"</t>
  </si>
  <si>
    <t xml:space="preserve">Triangulate</t>
  </si>
  <si>
    <t xml:space="preserve">Pin: soft-lock + reveal</t>
  </si>
  <si>
    <t xml:space="preserve">The Lien</t>
  </si>
  <si>
    <t xml:space="preserve">Predatory creditor</t>
  </si>
  <si>
    <t xml:space="preserve">Tow truck "Arrears"</t>
  </si>
  <si>
    <t xml:space="preserve">Repossession</t>
  </si>
  <si>
    <t xml:space="preserve">Hook: steal pickup + HP drain (2 charges)</t>
  </si>
  <si>
    <t xml:space="preserve">Hemlock</t>
  </si>
  <si>
    <t xml:space="preserve">Eco-saboteur</t>
  </si>
  <si>
    <t xml:space="preserve">Tanker "Wormwood"</t>
  </si>
  <si>
    <t xml:space="preserve">Bloom</t>
  </si>
  <si>
    <t xml:space="preserve">10s toxic pool: armor corrode + handling cut</t>
  </si>
  <si>
    <t xml:space="preserve">The Shepherd</t>
  </si>
  <si>
    <t xml:space="preserve">Doomsday pastor</t>
  </si>
  <si>
    <t xml:space="preserve">Bus "The Hollow Light"</t>
  </si>
  <si>
    <t xml:space="preserve">The Flock</t>
  </si>
  <si>
    <t xml:space="preserve">6s swarm: DoT + vision/minimap block</t>
  </si>
  <si>
    <t xml:space="preserve">Specter</t>
  </si>
  <si>
    <t xml:space="preserve">Drone operator</t>
  </si>
  <si>
    <t xml:space="preserve">Comms truck "Overwatch"</t>
  </si>
  <si>
    <t xml:space="preserve">Danger Close</t>
  </si>
  <si>
    <t xml:space="preserve">Called airstrike: longest range, highest single hit</t>
  </si>
  <si>
    <t xml:space="preserve">Refuse</t>
  </si>
  <si>
    <t xml:space="preserve">Sanitation worker</t>
  </si>
  <si>
    <t xml:space="preserve">Garbage truck "Route 7"</t>
  </si>
  <si>
    <t xml:space="preserve">Compaction</t>
  </si>
  <si>
    <t xml:space="preserve">Grab+crush / junk-cone shotgun</t>
  </si>
  <si>
    <t xml:space="preserve">The Bride</t>
  </si>
  <si>
    <t xml:space="preserve">Arrested grief</t>
  </si>
  <si>
    <t xml:space="preserve">Limo "Honeymoon"</t>
  </si>
  <si>
    <t xml:space="preserve">Bouquet (Till Death)</t>
  </si>
  <si>
    <t xml:space="preserve">6s target mark: +dmg taken, trackable</t>
  </si>
  <si>
    <t xml:space="preserve">The Hunter</t>
  </si>
  <si>
    <t xml:space="preserve">Father / predator</t>
  </si>
  <si>
    <t xml:space="preserve">Pickup "First Light"</t>
  </si>
  <si>
    <t xml:space="preserve">One in the Chamber</t>
  </si>
  <si>
    <t xml:space="preserve">Single aimed precision shot, armor-pierce</t>
  </si>
  <si>
    <t xml:space="preserve">The Photographer</t>
  </si>
  <si>
    <t xml:space="preserve">Complicit observer</t>
  </si>
  <si>
    <t xml:space="preserve">Press sedan "Exposure"</t>
  </si>
  <si>
    <t xml:space="preserve">Flashbulb</t>
  </si>
  <si>
    <t xml:space="preserve">2s blind arc + mark nearest</t>
  </si>
  <si>
    <t xml:space="preserve">Vault (unlock)</t>
  </si>
  <si>
    <t xml:space="preserve">Mystery / anti-Auditor</t>
  </si>
  <si>
    <t xml:space="preserve">Armored car "Iron Page"</t>
  </si>
  <si>
    <t xml:space="preserve">Redaction</t>
  </si>
  <si>
    <t xml:space="preserve">12s disable target special</t>
  </si>
  <si>
    <t xml:space="preserve">BOSSES — 10 Collectors  (over-budget by design; HP mult &amp; phase thresholds)</t>
  </si>
  <si>
    <t xml:space="preserve">Arena</t>
  </si>
  <si>
    <t xml:space="preserve">HP Mult</t>
  </si>
  <si>
    <t xml:space="preserve">Phase 2 @66%</t>
  </si>
  <si>
    <t xml:space="preserve">Phase 3 @33%</t>
  </si>
  <si>
    <t xml:space="preserve">The Foundryman "Tap"</t>
  </si>
  <si>
    <t xml:space="preserve">The Mill</t>
  </si>
  <si>
    <t xml:space="preserve">Cupola (ladle car)</t>
  </si>
  <si>
    <t xml:space="preserve">Tap the Heat</t>
  </si>
  <si>
    <t xml:space="preserve">Immovable; molten wall; furnace immunity</t>
  </si>
  <si>
    <t xml:space="preserve">Curfew</t>
  </si>
  <si>
    <t xml:space="preserve">Ashen Hollow Downtown</t>
  </si>
  <si>
    <t xml:space="preserve">Order (riot truck)</t>
  </si>
  <si>
    <t xml:space="preserve">Backup</t>
  </si>
  <si>
    <t xml:space="preserve">Squad-car adds; spotlight zoning</t>
  </si>
  <si>
    <t xml:space="preserve">Condemned</t>
  </si>
  <si>
    <t xml:space="preserve">The Tenements</t>
  </si>
  <si>
    <t xml:space="preserve">Eminent Domain (crane)</t>
  </si>
  <si>
    <t xml:space="preserve">Bring It Down</t>
  </si>
  <si>
    <t xml:space="preserve">Collapses arena; shrinking space</t>
  </si>
  <si>
    <t xml:space="preserve">Jackknife</t>
  </si>
  <si>
    <t xml:space="preserve">Highway 6 Overpass</t>
  </si>
  <si>
    <t xml:space="preserve">Long Way Down (semi)</t>
  </si>
  <si>
    <t xml:space="preserve">Fast heavyweight; trailer sweep; ram-off</t>
  </si>
  <si>
    <t xml:space="preserve">The Sexton</t>
  </si>
  <si>
    <t xml:space="preserve">The Cemetery</t>
  </si>
  <si>
    <t xml:space="preserve">Plot (hearse)</t>
  </si>
  <si>
    <t xml:space="preserve">The Buried</t>
  </si>
  <si>
    <t xml:space="preserve">Ghost adds + lifesteal; fog; grave-grab</t>
  </si>
  <si>
    <t xml:space="preserve">Undertow</t>
  </si>
  <si>
    <t xml:space="preserve">The Drowned Quarter</t>
  </si>
  <si>
    <t xml:space="preserve">Deadrise (dredge)</t>
  </si>
  <si>
    <t xml:space="preserve">Owns deep water; surge-ride; drag grab</t>
  </si>
  <si>
    <t xml:space="preserve">Lodestone</t>
  </si>
  <si>
    <t xml:space="preserve">The Switchyard</t>
  </si>
  <si>
    <t xml:space="preserve">Lodestone (magnet crane)</t>
  </si>
  <si>
    <t xml:space="preserve">Magnet</t>
  </si>
  <si>
    <t xml:space="preserve">Lift-and-slam; aims Ghost Train</t>
  </si>
  <si>
    <t xml:space="preserve">The Headliner "Mr. Marrow"</t>
  </si>
  <si>
    <t xml:space="preserve">Pinewood Drive-In</t>
  </si>
  <si>
    <t xml:space="preserve">The Big Top (float)</t>
  </si>
  <si>
    <t xml:space="preserve">Showtime</t>
  </si>
  <si>
    <t xml:space="preserve">Fireworks bullet-hell; mirror decoys</t>
  </si>
  <si>
    <t xml:space="preserve">The Alienist</t>
  </si>
  <si>
    <t xml:space="preserve">Saint Dymphna’s</t>
  </si>
  <si>
    <t xml:space="preserve">Convulsion (ECT rig)</t>
  </si>
  <si>
    <t xml:space="preserve">Treatment</t>
  </si>
  <si>
    <t xml:space="preserve">Arc hazard; control-scramble; blackout</t>
  </si>
  <si>
    <t xml:space="preserve">The Auditor</t>
  </si>
  <si>
    <t xml:space="preserve">The Auditor’s Office</t>
  </si>
  <si>
    <t xml:space="preserve">Shifting black car</t>
  </si>
  <si>
    <t xml:space="preserve">Audit</t>
  </si>
  <si>
    <t xml:space="preserve">FINAL BOSS. Stats hidden in-game (shown redacted); copies any special</t>
  </si>
  <si>
    <t xml:space="preserve">WEAPONS — 14 shared pickups  (blue = starting values to tune)</t>
  </si>
  <si>
    <t xml:space="preserve">Weapon</t>
  </si>
  <si>
    <t xml:space="preserve">Ammo</t>
  </si>
  <si>
    <t xml:space="preserve">Rarity</t>
  </si>
  <si>
    <t xml:space="preserve">Direct Dmg</t>
  </si>
  <si>
    <t xml:space="preserve">Splash Dmg</t>
  </si>
  <si>
    <t xml:space="preserve">Duration / Cooldown</t>
  </si>
  <si>
    <t xml:space="preserve">Effect</t>
  </si>
  <si>
    <t xml:space="preserve">Homing Missile</t>
  </si>
  <si>
    <t xml:space="preserve">3</t>
  </si>
  <si>
    <t xml:space="preserve">Common</t>
  </si>
  <si>
    <t xml:space="preserve">—</t>
  </si>
  <si>
    <t xml:space="preserve">Tracks nearest enemy in front</t>
  </si>
  <si>
    <t xml:space="preserve">Bread-and-butter</t>
  </si>
  <si>
    <t xml:space="preserve">Power Missile</t>
  </si>
  <si>
    <t xml:space="preserve">2</t>
  </si>
  <si>
    <t xml:space="preserve">Straight-line unguided</t>
  </si>
  <si>
    <t xml:space="preserve">Devastating when pinned</t>
  </si>
  <si>
    <t xml:space="preserve">Ricochet</t>
  </si>
  <si>
    <t xml:space="preserve">4</t>
  </si>
  <si>
    <t xml:space="preserve">Uncommon</t>
  </si>
  <si>
    <t xml:space="preserve">Bounces off walls x3</t>
  </si>
  <si>
    <t xml:space="preserve">Great in tight arenas</t>
  </si>
  <si>
    <t xml:space="preserve">Remote Bomb</t>
  </si>
  <si>
    <t xml:space="preserve">On trigger</t>
  </si>
  <si>
    <t xml:space="preserve">Delayed/triggered drop</t>
  </si>
  <si>
    <t xml:space="preserve">Trap warfare</t>
  </si>
  <si>
    <t xml:space="preserve">Freeze Missile</t>
  </si>
  <si>
    <t xml:space="preserve">1</t>
  </si>
  <si>
    <t xml:space="preserve">Rare</t>
  </si>
  <si>
    <t xml:space="preserve">3s freeze</t>
  </si>
  <si>
    <t xml:space="preserve">Encase, no damage</t>
  </si>
  <si>
    <t xml:space="preserve">Power-missile combo</t>
  </si>
  <si>
    <t xml:space="preserve">EMP</t>
  </si>
  <si>
    <t xml:space="preserve">4s disable</t>
  </si>
  <si>
    <t xml:space="preserve">HUD/lock/special off</t>
  </si>
  <si>
    <t xml:space="preserve">Counter special-spam</t>
  </si>
  <si>
    <t xml:space="preserve">Napalm</t>
  </si>
  <si>
    <t xml:space="preserve">6s zone</t>
  </si>
  <si>
    <t xml:space="preserve">Fire zone (dmg/s)</t>
  </si>
  <si>
    <t xml:space="preserve">Area denial</t>
  </si>
  <si>
    <t xml:space="preserve">Spike Strip</t>
  </si>
  <si>
    <t xml:space="preserve">4s debuff</t>
  </si>
  <si>
    <t xml:space="preserve">Spikes: dmg + handling/speed cut</t>
  </si>
  <si>
    <t xml:space="preserve">NEW v0.3 — zoning</t>
  </si>
  <si>
    <t xml:space="preserve">Concussion Charge</t>
  </si>
  <si>
    <t xml:space="preserve">Instant</t>
  </si>
  <si>
    <t xml:space="preserve">360° knockback + stagger</t>
  </si>
  <si>
    <t xml:space="preserve">NEW v0.3 — peel/escape</t>
  </si>
  <si>
    <t xml:space="preserve">Arc Lance</t>
  </si>
  <si>
    <t xml:space="preserve">1 (sustained)</t>
  </si>
  <si>
    <t xml:space="preserve">Sustained beam</t>
  </si>
  <si>
    <t xml:space="preserve">Ramps with held LoS; armor-melt</t>
  </si>
  <si>
    <t xml:space="preserve">NEW v0.3 — beam DPS</t>
  </si>
  <si>
    <t xml:space="preserve">Process Server</t>
  </si>
  <si>
    <t xml:space="preserve">8s turret</t>
  </si>
  <si>
    <t xml:space="preserve">Deployable auto-turret</t>
  </si>
  <si>
    <t xml:space="preserve">NEW v0.3 — deployable</t>
  </si>
  <si>
    <t xml:space="preserve">Effigy</t>
  </si>
  <si>
    <t xml:space="preserve">5s decoy</t>
  </si>
  <si>
    <t xml:space="preserve">Phantom duplicate draws fire</t>
  </si>
  <si>
    <t xml:space="preserve">NEW v0.3 — misdirection</t>
  </si>
  <si>
    <t xml:space="preserve">Final Notice</t>
  </si>
  <si>
    <t xml:space="preserve">Relentless</t>
  </si>
  <si>
    <t xml:space="preserve">Inexorable seeker; only LoS breaks it</t>
  </si>
  <si>
    <t xml:space="preserve">NEW v0.3 — contested finisher</t>
  </si>
  <si>
    <t xml:space="preserve">Health Pack</t>
  </si>
  <si>
    <t xml:space="preserve">Restores 33% HP</t>
  </si>
  <si>
    <t xml:space="preserve">Most important pickup</t>
  </si>
  <si>
    <t xml:space="preserve">Not a weapon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</si>
</sst>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14"/>
        <bgColor rgb="FF800000"/>
      </patternFill>
    </fill>
    <fill>
      <patternFill patternType="solid">
        <fgColor rgb="FFEDE7E7"/>
        <bgColor rgb="FFFFFFFF"/>
      </patternFill>
    </fill>
    <fill>
      <patternFill patternType="solid">
        <fgColor rgb="FF2A2A2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14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DE7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24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26.8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6"/>
      <c r="B8" s="5"/>
    </row>
    <row r="9" customFormat="false" ht="15" hidden="false" customHeight="false" outlineLevel="0" collapsed="false">
      <c r="A9" s="2" t="s">
        <v>11</v>
      </c>
      <c r="B9" s="3"/>
    </row>
    <row r="10" customFormat="false" ht="15" hidden="false" customHeight="false" outlineLevel="0" collapsed="false">
      <c r="A10" s="7" t="s">
        <v>12</v>
      </c>
      <c r="B10" s="5" t="s">
        <v>13</v>
      </c>
    </row>
    <row r="11" customFormat="false" ht="15" hidden="false" customHeight="false" outlineLevel="0" collapsed="false">
      <c r="A11" s="8" t="s">
        <v>14</v>
      </c>
      <c r="B11" s="5" t="s">
        <v>15</v>
      </c>
    </row>
    <row r="12" customFormat="false" ht="15" hidden="false" customHeight="false" outlineLevel="0" collapsed="false">
      <c r="A12" s="9" t="s">
        <v>16</v>
      </c>
      <c r="B12" s="5" t="s">
        <v>17</v>
      </c>
    </row>
    <row r="13" customFormat="false" ht="15" hidden="false" customHeight="false" outlineLevel="0" collapsed="false">
      <c r="A13" s="6"/>
      <c r="B13" s="5"/>
    </row>
    <row r="14" customFormat="false" ht="26.85" hidden="false" customHeight="false" outlineLevel="0" collapsed="false">
      <c r="A14" s="6" t="s">
        <v>18</v>
      </c>
      <c r="B14" s="5" t="s"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20</v>
      </c>
      <c r="B1" s="1"/>
    </row>
    <row r="3" customFormat="false" ht="15" hidden="false" customHeight="false" outlineLevel="0" collapsed="false">
      <c r="A3" s="10" t="s">
        <v>21</v>
      </c>
      <c r="B3" s="11" t="n">
        <v>1000</v>
      </c>
    </row>
    <row r="4" customFormat="false" ht="15" hidden="false" customHeight="false" outlineLevel="0" collapsed="false">
      <c r="A4" s="10" t="s">
        <v>22</v>
      </c>
      <c r="B4" s="11" t="n">
        <v>0.7</v>
      </c>
    </row>
    <row r="5" customFormat="false" ht="15" hidden="false" customHeight="false" outlineLevel="0" collapsed="false">
      <c r="A5" s="10" t="s">
        <v>23</v>
      </c>
      <c r="B5" s="11" t="n">
        <v>1.5</v>
      </c>
    </row>
    <row r="6" customFormat="false" ht="15" hidden="false" customHeight="false" outlineLevel="0" collapsed="false">
      <c r="A6" s="10" t="s">
        <v>24</v>
      </c>
      <c r="B6" s="11" t="n">
        <v>5</v>
      </c>
    </row>
    <row r="7" customFormat="false" ht="15" hidden="false" customHeight="false" outlineLevel="0" collapsed="false">
      <c r="A7" s="10" t="s">
        <v>25</v>
      </c>
      <c r="B7" s="11" t="n">
        <v>12</v>
      </c>
    </row>
    <row r="8" customFormat="false" ht="15" hidden="false" customHeight="false" outlineLevel="0" collapsed="false">
      <c r="A8" s="10" t="s">
        <v>26</v>
      </c>
      <c r="B8" s="11" t="n">
        <v>80</v>
      </c>
    </row>
    <row r="9" customFormat="false" ht="15" hidden="false" customHeight="false" outlineLevel="0" collapsed="false">
      <c r="A9" s="10" t="s">
        <v>27</v>
      </c>
      <c r="B9" s="11" t="n">
        <v>40</v>
      </c>
    </row>
    <row r="10" customFormat="false" ht="15" hidden="false" customHeight="false" outlineLevel="0" collapsed="false">
      <c r="A10" s="10" t="s">
        <v>28</v>
      </c>
      <c r="B10" s="11" t="n">
        <v>200</v>
      </c>
    </row>
    <row r="11" customFormat="false" ht="15" hidden="false" customHeight="false" outlineLevel="0" collapsed="false">
      <c r="A11" s="10" t="s">
        <v>29</v>
      </c>
      <c r="B11" s="11" t="n">
        <v>60</v>
      </c>
    </row>
    <row r="12" customFormat="false" ht="15" hidden="false" customHeight="false" outlineLevel="0" collapsed="false">
      <c r="A12" s="10" t="s">
        <v>30</v>
      </c>
      <c r="B12" s="11" t="n">
        <v>100</v>
      </c>
    </row>
    <row r="13" customFormat="false" ht="15" hidden="false" customHeight="false" outlineLevel="0" collapsed="false">
      <c r="A13" s="10" t="s">
        <v>31</v>
      </c>
      <c r="B13" s="11" t="n">
        <v>250</v>
      </c>
    </row>
    <row r="14" customFormat="false" ht="15" hidden="false" customHeight="false" outlineLevel="0" collapsed="false">
      <c r="A14" s="10" t="s">
        <v>32</v>
      </c>
      <c r="B14" s="11" t="n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7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  <c r="L2" s="12" t="s">
        <v>45</v>
      </c>
    </row>
    <row r="3" customFormat="false" ht="15" hidden="false" customHeight="false" outlineLevel="0" collapsed="false">
      <c r="A3" s="13" t="s">
        <v>46</v>
      </c>
      <c r="B3" s="14" t="s">
        <v>47</v>
      </c>
      <c r="C3" s="14" t="s">
        <v>48</v>
      </c>
      <c r="D3" s="14" t="s">
        <v>49</v>
      </c>
      <c r="E3" s="11" t="n">
        <v>5</v>
      </c>
      <c r="F3" s="11" t="n">
        <v>7</v>
      </c>
      <c r="G3" s="11" t="n">
        <v>5</v>
      </c>
      <c r="H3" s="11" t="n">
        <v>7</v>
      </c>
      <c r="I3" s="15" t="n">
        <f aca="false">SUM(E3:H3)</f>
        <v>24</v>
      </c>
      <c r="J3" s="16" t="str">
        <f aca="false">IF(I3=24,"OK","CHECK")</f>
        <v>OK</v>
      </c>
      <c r="K3" s="17" t="n">
        <f aca="false">ROUND('Global Tuning'!$B$3*('Global Tuning'!$B$4+(F3-1)*('Global Tuning'!$B$5-'Global Tuning'!$B$4)/9),0)</f>
        <v>1233</v>
      </c>
      <c r="L3" s="18" t="s">
        <v>50</v>
      </c>
    </row>
    <row r="4" customFormat="false" ht="15" hidden="false" customHeight="false" outlineLevel="0" collapsed="false">
      <c r="A4" s="13" t="s">
        <v>51</v>
      </c>
      <c r="B4" s="14" t="s">
        <v>52</v>
      </c>
      <c r="C4" s="14" t="s">
        <v>53</v>
      </c>
      <c r="D4" s="14" t="s">
        <v>54</v>
      </c>
      <c r="E4" s="11" t="n">
        <v>3</v>
      </c>
      <c r="F4" s="11" t="n">
        <v>9</v>
      </c>
      <c r="G4" s="11" t="n">
        <v>4</v>
      </c>
      <c r="H4" s="11" t="n">
        <v>8</v>
      </c>
      <c r="I4" s="15" t="n">
        <f aca="false">SUM(E4:H4)</f>
        <v>24</v>
      </c>
      <c r="J4" s="16" t="str">
        <f aca="false">IF(I4=24,"OK","CHECK")</f>
        <v>OK</v>
      </c>
      <c r="K4" s="17" t="n">
        <f aca="false">ROUND('Global Tuning'!$B$3*('Global Tuning'!$B$4+(F4-1)*('Global Tuning'!$B$5-'Global Tuning'!$B$4)/9),0)</f>
        <v>1411</v>
      </c>
      <c r="L4" s="18" t="s">
        <v>55</v>
      </c>
    </row>
    <row r="5" customFormat="false" ht="15" hidden="false" customHeight="false" outlineLevel="0" collapsed="false">
      <c r="A5" s="13" t="s">
        <v>56</v>
      </c>
      <c r="B5" s="14" t="s">
        <v>57</v>
      </c>
      <c r="C5" s="14" t="s">
        <v>58</v>
      </c>
      <c r="D5" s="14" t="s">
        <v>59</v>
      </c>
      <c r="E5" s="11" t="n">
        <v>8</v>
      </c>
      <c r="F5" s="11" t="n">
        <v>3</v>
      </c>
      <c r="G5" s="11" t="n">
        <v>6</v>
      </c>
      <c r="H5" s="11" t="n">
        <v>7</v>
      </c>
      <c r="I5" s="15" t="n">
        <f aca="false">SUM(E5:H5)</f>
        <v>24</v>
      </c>
      <c r="J5" s="16" t="str">
        <f aca="false">IF(I5=24,"OK","CHECK")</f>
        <v>OK</v>
      </c>
      <c r="K5" s="17" t="n">
        <f aca="false">ROUND('Global Tuning'!$B$3*('Global Tuning'!$B$4+(F5-1)*('Global Tuning'!$B$5-'Global Tuning'!$B$4)/9),0)</f>
        <v>878</v>
      </c>
      <c r="L5" s="18" t="s">
        <v>60</v>
      </c>
    </row>
    <row r="6" customFormat="false" ht="15" hidden="false" customHeight="false" outlineLevel="0" collapsed="false">
      <c r="A6" s="13" t="s">
        <v>61</v>
      </c>
      <c r="B6" s="14" t="s">
        <v>62</v>
      </c>
      <c r="C6" s="14" t="s">
        <v>63</v>
      </c>
      <c r="D6" s="14" t="s">
        <v>64</v>
      </c>
      <c r="E6" s="11" t="n">
        <v>4</v>
      </c>
      <c r="F6" s="11" t="n">
        <v>9</v>
      </c>
      <c r="G6" s="11" t="n">
        <v>4</v>
      </c>
      <c r="H6" s="11" t="n">
        <v>7</v>
      </c>
      <c r="I6" s="15" t="n">
        <f aca="false">SUM(E6:H6)</f>
        <v>24</v>
      </c>
      <c r="J6" s="16" t="str">
        <f aca="false">IF(I6=24,"OK","CHECK")</f>
        <v>OK</v>
      </c>
      <c r="K6" s="17" t="n">
        <f aca="false">ROUND('Global Tuning'!$B$3*('Global Tuning'!$B$4+(F6-1)*('Global Tuning'!$B$5-'Global Tuning'!$B$4)/9),0)</f>
        <v>1411</v>
      </c>
      <c r="L6" s="18" t="s">
        <v>65</v>
      </c>
    </row>
    <row r="7" customFormat="false" ht="15" hidden="false" customHeight="false" outlineLevel="0" collapsed="false">
      <c r="A7" s="13" t="s">
        <v>66</v>
      </c>
      <c r="B7" s="14" t="s">
        <v>67</v>
      </c>
      <c r="C7" s="14" t="s">
        <v>68</v>
      </c>
      <c r="D7" s="14" t="s">
        <v>69</v>
      </c>
      <c r="E7" s="11" t="n">
        <v>7</v>
      </c>
      <c r="F7" s="11" t="n">
        <v>4</v>
      </c>
      <c r="G7" s="11" t="n">
        <v>8</v>
      </c>
      <c r="H7" s="11" t="n">
        <v>5</v>
      </c>
      <c r="I7" s="15" t="n">
        <f aca="false">SUM(E7:H7)</f>
        <v>24</v>
      </c>
      <c r="J7" s="16" t="str">
        <f aca="false">IF(I7=24,"OK","CHECK")</f>
        <v>OK</v>
      </c>
      <c r="K7" s="17" t="n">
        <f aca="false">ROUND('Global Tuning'!$B$3*('Global Tuning'!$B$4+(F7-1)*('Global Tuning'!$B$5-'Global Tuning'!$B$4)/9),0)</f>
        <v>967</v>
      </c>
      <c r="L7" s="18" t="s">
        <v>70</v>
      </c>
    </row>
    <row r="8" customFormat="false" ht="15" hidden="false" customHeight="false" outlineLevel="0" collapsed="false">
      <c r="A8" s="13" t="s">
        <v>71</v>
      </c>
      <c r="B8" s="14" t="s">
        <v>72</v>
      </c>
      <c r="C8" s="14" t="s">
        <v>73</v>
      </c>
      <c r="D8" s="14" t="s">
        <v>74</v>
      </c>
      <c r="E8" s="11" t="n">
        <v>2</v>
      </c>
      <c r="F8" s="11" t="n">
        <v>10</v>
      </c>
      <c r="G8" s="11" t="n">
        <v>3</v>
      </c>
      <c r="H8" s="11" t="n">
        <v>9</v>
      </c>
      <c r="I8" s="15" t="n">
        <f aca="false">SUM(E8:H8)</f>
        <v>24</v>
      </c>
      <c r="J8" s="16" t="str">
        <f aca="false">IF(I8=24,"OK","CHECK")</f>
        <v>OK</v>
      </c>
      <c r="K8" s="17" t="n">
        <f aca="false">ROUND('Global Tuning'!$B$3*('Global Tuning'!$B$4+(F8-1)*('Global Tuning'!$B$5-'Global Tuning'!$B$4)/9),0)</f>
        <v>1500</v>
      </c>
      <c r="L8" s="18" t="s">
        <v>75</v>
      </c>
    </row>
    <row r="9" customFormat="false" ht="15" hidden="false" customHeight="false" outlineLevel="0" collapsed="false">
      <c r="A9" s="13" t="s">
        <v>76</v>
      </c>
      <c r="B9" s="14" t="s">
        <v>77</v>
      </c>
      <c r="C9" s="14" t="s">
        <v>78</v>
      </c>
      <c r="D9" s="14" t="s">
        <v>79</v>
      </c>
      <c r="E9" s="11" t="n">
        <v>6</v>
      </c>
      <c r="F9" s="11" t="n">
        <v>6</v>
      </c>
      <c r="G9" s="11" t="n">
        <v>6</v>
      </c>
      <c r="H9" s="11" t="n">
        <v>6</v>
      </c>
      <c r="I9" s="15" t="n">
        <f aca="false">SUM(E9:H9)</f>
        <v>24</v>
      </c>
      <c r="J9" s="16" t="str">
        <f aca="false">IF(I9=24,"OK","CHECK")</f>
        <v>OK</v>
      </c>
      <c r="K9" s="17" t="n">
        <f aca="false">ROUND('Global Tuning'!$B$3*('Global Tuning'!$B$4+(F9-1)*('Global Tuning'!$B$5-'Global Tuning'!$B$4)/9),0)</f>
        <v>1144</v>
      </c>
      <c r="L9" s="18" t="s">
        <v>80</v>
      </c>
    </row>
    <row r="10" customFormat="false" ht="15" hidden="false" customHeight="false" outlineLevel="0" collapsed="false">
      <c r="A10" s="13" t="s">
        <v>81</v>
      </c>
      <c r="B10" s="14" t="s">
        <v>82</v>
      </c>
      <c r="C10" s="14" t="s">
        <v>83</v>
      </c>
      <c r="D10" s="14" t="s">
        <v>84</v>
      </c>
      <c r="E10" s="11" t="n">
        <v>5</v>
      </c>
      <c r="F10" s="11" t="n">
        <v>8</v>
      </c>
      <c r="G10" s="11" t="n">
        <v>4</v>
      </c>
      <c r="H10" s="11" t="n">
        <v>7</v>
      </c>
      <c r="I10" s="15" t="n">
        <f aca="false">SUM(E10:H10)</f>
        <v>24</v>
      </c>
      <c r="J10" s="16" t="str">
        <f aca="false">IF(I10=24,"OK","CHECK")</f>
        <v>OK</v>
      </c>
      <c r="K10" s="17" t="n">
        <f aca="false">ROUND('Global Tuning'!$B$3*('Global Tuning'!$B$4+(F10-1)*('Global Tuning'!$B$5-'Global Tuning'!$B$4)/9),0)</f>
        <v>1322</v>
      </c>
      <c r="L10" s="18" t="s">
        <v>85</v>
      </c>
    </row>
    <row r="11" customFormat="false" ht="15" hidden="false" customHeight="false" outlineLevel="0" collapsed="false">
      <c r="A11" s="13" t="s">
        <v>86</v>
      </c>
      <c r="B11" s="14" t="s">
        <v>87</v>
      </c>
      <c r="C11" s="14" t="s">
        <v>88</v>
      </c>
      <c r="D11" s="14" t="s">
        <v>89</v>
      </c>
      <c r="E11" s="11" t="n">
        <v>3</v>
      </c>
      <c r="F11" s="11" t="n">
        <v>6</v>
      </c>
      <c r="G11" s="11" t="n">
        <v>5</v>
      </c>
      <c r="H11" s="11" t="n">
        <v>10</v>
      </c>
      <c r="I11" s="15" t="n">
        <f aca="false">SUM(E11:H11)</f>
        <v>24</v>
      </c>
      <c r="J11" s="16" t="str">
        <f aca="false">IF(I11=24,"OK","CHECK")</f>
        <v>OK</v>
      </c>
      <c r="K11" s="17" t="n">
        <f aca="false">ROUND('Global Tuning'!$B$3*('Global Tuning'!$B$4+(F11-1)*('Global Tuning'!$B$5-'Global Tuning'!$B$4)/9),0)</f>
        <v>1144</v>
      </c>
      <c r="L11" s="18" t="s">
        <v>90</v>
      </c>
    </row>
    <row r="12" customFormat="false" ht="15" hidden="false" customHeight="false" outlineLevel="0" collapsed="false">
      <c r="A12" s="13" t="s">
        <v>91</v>
      </c>
      <c r="B12" s="14" t="s">
        <v>92</v>
      </c>
      <c r="C12" s="14" t="s">
        <v>93</v>
      </c>
      <c r="D12" s="14" t="s">
        <v>94</v>
      </c>
      <c r="E12" s="11" t="n">
        <v>4</v>
      </c>
      <c r="F12" s="11" t="n">
        <v>8</v>
      </c>
      <c r="G12" s="11" t="n">
        <v>5</v>
      </c>
      <c r="H12" s="11" t="n">
        <v>7</v>
      </c>
      <c r="I12" s="15" t="n">
        <f aca="false">SUM(E12:H12)</f>
        <v>24</v>
      </c>
      <c r="J12" s="16" t="str">
        <f aca="false">IF(I12=24,"OK","CHECK")</f>
        <v>OK</v>
      </c>
      <c r="K12" s="17" t="n">
        <f aca="false">ROUND('Global Tuning'!$B$3*('Global Tuning'!$B$4+(F12-1)*('Global Tuning'!$B$5-'Global Tuning'!$B$4)/9),0)</f>
        <v>1322</v>
      </c>
      <c r="L12" s="18" t="s">
        <v>95</v>
      </c>
    </row>
    <row r="13" customFormat="false" ht="15" hidden="false" customHeight="false" outlineLevel="0" collapsed="false">
      <c r="A13" s="13" t="s">
        <v>96</v>
      </c>
      <c r="B13" s="14" t="s">
        <v>97</v>
      </c>
      <c r="C13" s="14" t="s">
        <v>98</v>
      </c>
      <c r="D13" s="14" t="s">
        <v>99</v>
      </c>
      <c r="E13" s="11" t="n">
        <v>4</v>
      </c>
      <c r="F13" s="11" t="n">
        <v>7</v>
      </c>
      <c r="G13" s="11" t="n">
        <v>4</v>
      </c>
      <c r="H13" s="11" t="n">
        <v>9</v>
      </c>
      <c r="I13" s="15" t="n">
        <f aca="false">SUM(E13:H13)</f>
        <v>24</v>
      </c>
      <c r="J13" s="16" t="str">
        <f aca="false">IF(I13=24,"OK","CHECK")</f>
        <v>OK</v>
      </c>
      <c r="K13" s="17" t="n">
        <f aca="false">ROUND('Global Tuning'!$B$3*('Global Tuning'!$B$4+(F13-1)*('Global Tuning'!$B$5-'Global Tuning'!$B$4)/9),0)</f>
        <v>1233</v>
      </c>
      <c r="L13" s="18" t="s">
        <v>100</v>
      </c>
    </row>
    <row r="14" customFormat="false" ht="15" hidden="false" customHeight="false" outlineLevel="0" collapsed="false">
      <c r="A14" s="13" t="s">
        <v>101</v>
      </c>
      <c r="B14" s="14" t="s">
        <v>102</v>
      </c>
      <c r="C14" s="14" t="s">
        <v>103</v>
      </c>
      <c r="D14" s="14" t="s">
        <v>104</v>
      </c>
      <c r="E14" s="11" t="n">
        <v>4</v>
      </c>
      <c r="F14" s="11" t="n">
        <v>9</v>
      </c>
      <c r="G14" s="11" t="n">
        <v>4</v>
      </c>
      <c r="H14" s="11" t="n">
        <v>7</v>
      </c>
      <c r="I14" s="15" t="n">
        <f aca="false">SUM(E14:H14)</f>
        <v>24</v>
      </c>
      <c r="J14" s="16" t="str">
        <f aca="false">IF(I14=24,"OK","CHECK")</f>
        <v>OK</v>
      </c>
      <c r="K14" s="17" t="n">
        <f aca="false">ROUND('Global Tuning'!$B$3*('Global Tuning'!$B$4+(F14-1)*('Global Tuning'!$B$5-'Global Tuning'!$B$4)/9),0)</f>
        <v>1411</v>
      </c>
      <c r="L14" s="18" t="s">
        <v>105</v>
      </c>
    </row>
    <row r="15" customFormat="false" ht="15" hidden="false" customHeight="false" outlineLevel="0" collapsed="false">
      <c r="A15" s="13" t="s">
        <v>106</v>
      </c>
      <c r="B15" s="14" t="s">
        <v>107</v>
      </c>
      <c r="C15" s="14" t="s">
        <v>108</v>
      </c>
      <c r="D15" s="14" t="s">
        <v>109</v>
      </c>
      <c r="E15" s="11" t="n">
        <v>8</v>
      </c>
      <c r="F15" s="11" t="n">
        <v>4</v>
      </c>
      <c r="G15" s="11" t="n">
        <v>7</v>
      </c>
      <c r="H15" s="11" t="n">
        <v>5</v>
      </c>
      <c r="I15" s="15" t="n">
        <f aca="false">SUM(E15:H15)</f>
        <v>24</v>
      </c>
      <c r="J15" s="16" t="str">
        <f aca="false">IF(I15=24,"OK","CHECK")</f>
        <v>OK</v>
      </c>
      <c r="K15" s="17" t="n">
        <f aca="false">ROUND('Global Tuning'!$B$3*('Global Tuning'!$B$4+(F15-1)*('Global Tuning'!$B$5-'Global Tuning'!$B$4)/9),0)</f>
        <v>967</v>
      </c>
      <c r="L15" s="18" t="s">
        <v>110</v>
      </c>
    </row>
    <row r="16" customFormat="false" ht="15" hidden="false" customHeight="false" outlineLevel="0" collapsed="false">
      <c r="A16" s="13" t="s">
        <v>111</v>
      </c>
      <c r="B16" s="14" t="s">
        <v>112</v>
      </c>
      <c r="C16" s="14" t="s">
        <v>113</v>
      </c>
      <c r="D16" s="14" t="s">
        <v>114</v>
      </c>
      <c r="E16" s="11" t="n">
        <v>6</v>
      </c>
      <c r="F16" s="11" t="n">
        <v>5</v>
      </c>
      <c r="G16" s="11" t="n">
        <v>6</v>
      </c>
      <c r="H16" s="11" t="n">
        <v>7</v>
      </c>
      <c r="I16" s="15" t="n">
        <f aca="false">SUM(E16:H16)</f>
        <v>24</v>
      </c>
      <c r="J16" s="16" t="str">
        <f aca="false">IF(I16=24,"OK","CHECK")</f>
        <v>OK</v>
      </c>
      <c r="K16" s="17" t="n">
        <f aca="false">ROUND('Global Tuning'!$B$3*('Global Tuning'!$B$4+(F16-1)*('Global Tuning'!$B$5-'Global Tuning'!$B$4)/9),0)</f>
        <v>1056</v>
      </c>
      <c r="L16" s="18" t="s">
        <v>115</v>
      </c>
    </row>
    <row r="17" customFormat="false" ht="15" hidden="false" customHeight="false" outlineLevel="0" collapsed="false">
      <c r="A17" s="13" t="s">
        <v>116</v>
      </c>
      <c r="B17" s="14" t="s">
        <v>117</v>
      </c>
      <c r="C17" s="14" t="s">
        <v>118</v>
      </c>
      <c r="D17" s="14" t="s">
        <v>119</v>
      </c>
      <c r="E17" s="11" t="n">
        <v>7</v>
      </c>
      <c r="F17" s="11" t="n">
        <v>4</v>
      </c>
      <c r="G17" s="11" t="n">
        <v>8</v>
      </c>
      <c r="H17" s="11" t="n">
        <v>5</v>
      </c>
      <c r="I17" s="15" t="n">
        <f aca="false">SUM(E17:H17)</f>
        <v>24</v>
      </c>
      <c r="J17" s="16" t="str">
        <f aca="false">IF(I17=24,"OK","CHECK")</f>
        <v>OK</v>
      </c>
      <c r="K17" s="17" t="n">
        <f aca="false">ROUND('Global Tuning'!$B$3*('Global Tuning'!$B$4+(F17-1)*('Global Tuning'!$B$5-'Global Tuning'!$B$4)/9),0)</f>
        <v>967</v>
      </c>
      <c r="L17" s="18" t="s">
        <v>120</v>
      </c>
    </row>
    <row r="18" customFormat="false" ht="15" hidden="false" customHeight="false" outlineLevel="0" collapsed="false">
      <c r="A18" s="13" t="s">
        <v>121</v>
      </c>
      <c r="B18" s="14" t="s">
        <v>122</v>
      </c>
      <c r="C18" s="14" t="s">
        <v>123</v>
      </c>
      <c r="D18" s="14" t="s">
        <v>124</v>
      </c>
      <c r="E18" s="11" t="n">
        <v>6</v>
      </c>
      <c r="F18" s="11" t="n">
        <v>6</v>
      </c>
      <c r="G18" s="11" t="n">
        <v>6</v>
      </c>
      <c r="H18" s="11" t="n">
        <v>6</v>
      </c>
      <c r="I18" s="15" t="n">
        <f aca="false">SUM(E18:H18)</f>
        <v>24</v>
      </c>
      <c r="J18" s="16" t="str">
        <f aca="false">IF(I18=24,"OK","CHECK")</f>
        <v>OK</v>
      </c>
      <c r="K18" s="17" t="n">
        <f aca="false">ROUND('Global Tuning'!$B$3*('Global Tuning'!$B$4+(F18-1)*('Global Tuning'!$B$5-'Global Tuning'!$B$4)/9),0)</f>
        <v>1144</v>
      </c>
      <c r="L18" s="18" t="s">
        <v>125</v>
      </c>
    </row>
  </sheetData>
  <mergeCells count="1">
    <mergeCell ref="A1:L1"/>
  </mergeCells>
  <conditionalFormatting sqref="I3:I18">
    <cfRule type="expression" priority="2" aboveAverage="0" equalAverage="0" bottom="0" percent="0" rank="0" text="" dxfId="0">
      <formula>I3&lt;&gt;24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7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3" min="11" style="0" width="12"/>
    <col collapsed="false" customWidth="true" hidden="false" outlineLevel="0" max="14" min="14" style="0" width="26"/>
  </cols>
  <sheetData>
    <row r="1" customFormat="false" ht="24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12" t="s">
        <v>34</v>
      </c>
      <c r="B2" s="12" t="s">
        <v>127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128</v>
      </c>
      <c r="K2" s="12" t="s">
        <v>44</v>
      </c>
      <c r="L2" s="12" t="s">
        <v>129</v>
      </c>
      <c r="M2" s="12" t="s">
        <v>130</v>
      </c>
      <c r="N2" s="12" t="s">
        <v>45</v>
      </c>
    </row>
    <row r="3" customFormat="false" ht="15" hidden="false" customHeight="false" outlineLevel="0" collapsed="false">
      <c r="A3" s="13" t="s">
        <v>131</v>
      </c>
      <c r="B3" s="14" t="s">
        <v>132</v>
      </c>
      <c r="C3" s="14" t="s">
        <v>133</v>
      </c>
      <c r="D3" s="14" t="s">
        <v>134</v>
      </c>
      <c r="E3" s="11" t="n">
        <v>2</v>
      </c>
      <c r="F3" s="11" t="n">
        <v>14</v>
      </c>
      <c r="G3" s="11" t="n">
        <v>2</v>
      </c>
      <c r="H3" s="11" t="n">
        <v>10</v>
      </c>
      <c r="I3" s="15" t="n">
        <f aca="false">SUM(E3:H3)</f>
        <v>28</v>
      </c>
      <c r="J3" s="11" t="n">
        <v>6</v>
      </c>
      <c r="K3" s="17" t="n">
        <f aca="false">ROUND(('Global Tuning'!$B$3*('Global Tuning'!$B$4+(F3-1)*('Global Tuning'!$B$5-'Global Tuning'!$B$4)/9))*J3,0)</f>
        <v>11133</v>
      </c>
      <c r="L3" s="16" t="n">
        <f aca="false">ROUND(K3*0.66,0)</f>
        <v>7348</v>
      </c>
      <c r="M3" s="16" t="n">
        <f aca="false">ROUND(K3*0.33,0)</f>
        <v>3674</v>
      </c>
      <c r="N3" s="18" t="s">
        <v>135</v>
      </c>
    </row>
    <row r="4" customFormat="false" ht="15" hidden="false" customHeight="false" outlineLevel="0" collapsed="false">
      <c r="A4" s="13" t="s">
        <v>136</v>
      </c>
      <c r="B4" s="14" t="s">
        <v>137</v>
      </c>
      <c r="C4" s="14" t="s">
        <v>138</v>
      </c>
      <c r="D4" s="14" t="s">
        <v>139</v>
      </c>
      <c r="E4" s="11" t="n">
        <v>5</v>
      </c>
      <c r="F4" s="11" t="n">
        <v>10</v>
      </c>
      <c r="G4" s="11" t="n">
        <v>4</v>
      </c>
      <c r="H4" s="11" t="n">
        <v>11</v>
      </c>
      <c r="I4" s="15" t="n">
        <f aca="false">SUM(E4:H4)</f>
        <v>30</v>
      </c>
      <c r="J4" s="11" t="n">
        <v>5</v>
      </c>
      <c r="K4" s="17" t="n">
        <f aca="false">ROUND(('Global Tuning'!$B$3*('Global Tuning'!$B$4+(F4-1)*('Global Tuning'!$B$5-'Global Tuning'!$B$4)/9))*J4,0)</f>
        <v>7500</v>
      </c>
      <c r="L4" s="16" t="n">
        <f aca="false">ROUND(K4*0.66,0)</f>
        <v>4950</v>
      </c>
      <c r="M4" s="16" t="n">
        <f aca="false">ROUND(K4*0.33,0)</f>
        <v>2475</v>
      </c>
      <c r="N4" s="18" t="s">
        <v>140</v>
      </c>
    </row>
    <row r="5" customFormat="false" ht="15" hidden="false" customHeight="false" outlineLevel="0" collapsed="false">
      <c r="A5" s="13" t="s">
        <v>141</v>
      </c>
      <c r="B5" s="14" t="s">
        <v>142</v>
      </c>
      <c r="C5" s="14" t="s">
        <v>143</v>
      </c>
      <c r="D5" s="14" t="s">
        <v>144</v>
      </c>
      <c r="E5" s="11" t="n">
        <v>3</v>
      </c>
      <c r="F5" s="11" t="n">
        <v>11</v>
      </c>
      <c r="G5" s="11" t="n">
        <v>3</v>
      </c>
      <c r="H5" s="11" t="n">
        <v>12</v>
      </c>
      <c r="I5" s="15" t="n">
        <f aca="false">SUM(E5:H5)</f>
        <v>29</v>
      </c>
      <c r="J5" s="11" t="n">
        <v>5</v>
      </c>
      <c r="K5" s="17" t="n">
        <f aca="false">ROUND(('Global Tuning'!$B$3*('Global Tuning'!$B$4+(F5-1)*('Global Tuning'!$B$5-'Global Tuning'!$B$4)/9))*J5,0)</f>
        <v>7944</v>
      </c>
      <c r="L5" s="16" t="n">
        <f aca="false">ROUND(K5*0.66,0)</f>
        <v>5243</v>
      </c>
      <c r="M5" s="16" t="n">
        <f aca="false">ROUND(K5*0.33,0)</f>
        <v>2622</v>
      </c>
      <c r="N5" s="18" t="s">
        <v>145</v>
      </c>
    </row>
    <row r="6" customFormat="false" ht="15" hidden="false" customHeight="false" outlineLevel="0" collapsed="false">
      <c r="A6" s="13" t="s">
        <v>146</v>
      </c>
      <c r="B6" s="14" t="s">
        <v>147</v>
      </c>
      <c r="C6" s="14" t="s">
        <v>148</v>
      </c>
      <c r="D6" s="14" t="s">
        <v>146</v>
      </c>
      <c r="E6" s="11" t="n">
        <v>9</v>
      </c>
      <c r="F6" s="11" t="n">
        <v>12</v>
      </c>
      <c r="G6" s="11" t="n">
        <v>3</v>
      </c>
      <c r="H6" s="11" t="n">
        <v>9</v>
      </c>
      <c r="I6" s="15" t="n">
        <f aca="false">SUM(E6:H6)</f>
        <v>33</v>
      </c>
      <c r="J6" s="11" t="n">
        <v>5</v>
      </c>
      <c r="K6" s="17" t="n">
        <f aca="false">ROUND(('Global Tuning'!$B$3*('Global Tuning'!$B$4+(F6-1)*('Global Tuning'!$B$5-'Global Tuning'!$B$4)/9))*J6,0)</f>
        <v>8389</v>
      </c>
      <c r="L6" s="16" t="n">
        <f aca="false">ROUND(K6*0.66,0)</f>
        <v>5537</v>
      </c>
      <c r="M6" s="16" t="n">
        <f aca="false">ROUND(K6*0.33,0)</f>
        <v>2768</v>
      </c>
      <c r="N6" s="18" t="s">
        <v>149</v>
      </c>
    </row>
    <row r="7" customFormat="false" ht="15" hidden="false" customHeight="false" outlineLevel="0" collapsed="false">
      <c r="A7" s="13" t="s">
        <v>150</v>
      </c>
      <c r="B7" s="14" t="s">
        <v>151</v>
      </c>
      <c r="C7" s="14" t="s">
        <v>152</v>
      </c>
      <c r="D7" s="14" t="s">
        <v>153</v>
      </c>
      <c r="E7" s="11" t="n">
        <v>4</v>
      </c>
      <c r="F7" s="11" t="n">
        <v>10</v>
      </c>
      <c r="G7" s="11" t="n">
        <v>5</v>
      </c>
      <c r="H7" s="11" t="n">
        <v>12</v>
      </c>
      <c r="I7" s="15" t="n">
        <f aca="false">SUM(E7:H7)</f>
        <v>31</v>
      </c>
      <c r="J7" s="11" t="n">
        <v>5</v>
      </c>
      <c r="K7" s="17" t="n">
        <f aca="false">ROUND(('Global Tuning'!$B$3*('Global Tuning'!$B$4+(F7-1)*('Global Tuning'!$B$5-'Global Tuning'!$B$4)/9))*J7,0)</f>
        <v>7500</v>
      </c>
      <c r="L7" s="16" t="n">
        <f aca="false">ROUND(K7*0.66,0)</f>
        <v>4950</v>
      </c>
      <c r="M7" s="16" t="n">
        <f aca="false">ROUND(K7*0.33,0)</f>
        <v>2475</v>
      </c>
      <c r="N7" s="18" t="s">
        <v>154</v>
      </c>
    </row>
    <row r="8" customFormat="false" ht="15" hidden="false" customHeight="false" outlineLevel="0" collapsed="false">
      <c r="A8" s="13" t="s">
        <v>155</v>
      </c>
      <c r="B8" s="14" t="s">
        <v>156</v>
      </c>
      <c r="C8" s="14" t="s">
        <v>157</v>
      </c>
      <c r="D8" s="14" t="s">
        <v>155</v>
      </c>
      <c r="E8" s="11" t="n">
        <v>6</v>
      </c>
      <c r="F8" s="11" t="n">
        <v>9</v>
      </c>
      <c r="G8" s="11" t="n">
        <v>7</v>
      </c>
      <c r="H8" s="11" t="n">
        <v>10</v>
      </c>
      <c r="I8" s="15" t="n">
        <f aca="false">SUM(E8:H8)</f>
        <v>32</v>
      </c>
      <c r="J8" s="11" t="n">
        <v>4</v>
      </c>
      <c r="K8" s="17" t="n">
        <f aca="false">ROUND(('Global Tuning'!$B$3*('Global Tuning'!$B$4+(F8-1)*('Global Tuning'!$B$5-'Global Tuning'!$B$4)/9))*J8,0)</f>
        <v>5644</v>
      </c>
      <c r="L8" s="16" t="n">
        <f aca="false">ROUND(K8*0.66,0)</f>
        <v>3725</v>
      </c>
      <c r="M8" s="16" t="n">
        <f aca="false">ROUND(K8*0.33,0)</f>
        <v>1863</v>
      </c>
      <c r="N8" s="18" t="s">
        <v>158</v>
      </c>
    </row>
    <row r="9" customFormat="false" ht="15" hidden="false" customHeight="false" outlineLevel="0" collapsed="false">
      <c r="A9" s="13" t="s">
        <v>159</v>
      </c>
      <c r="B9" s="14" t="s">
        <v>160</v>
      </c>
      <c r="C9" s="14" t="s">
        <v>161</v>
      </c>
      <c r="D9" s="14" t="s">
        <v>162</v>
      </c>
      <c r="E9" s="11" t="n">
        <v>3</v>
      </c>
      <c r="F9" s="11" t="n">
        <v>13</v>
      </c>
      <c r="G9" s="11" t="n">
        <v>2</v>
      </c>
      <c r="H9" s="11" t="n">
        <v>12</v>
      </c>
      <c r="I9" s="15" t="n">
        <f aca="false">SUM(E9:H9)</f>
        <v>30</v>
      </c>
      <c r="J9" s="11" t="n">
        <v>6</v>
      </c>
      <c r="K9" s="17" t="n">
        <f aca="false">ROUND(('Global Tuning'!$B$3*('Global Tuning'!$B$4+(F9-1)*('Global Tuning'!$B$5-'Global Tuning'!$B$4)/9))*J9,0)</f>
        <v>10600</v>
      </c>
      <c r="L9" s="16" t="n">
        <f aca="false">ROUND(K9*0.66,0)</f>
        <v>6996</v>
      </c>
      <c r="M9" s="16" t="n">
        <f aca="false">ROUND(K9*0.33,0)</f>
        <v>3498</v>
      </c>
      <c r="N9" s="18" t="s">
        <v>163</v>
      </c>
    </row>
    <row r="10" customFormat="false" ht="15" hidden="false" customHeight="false" outlineLevel="0" collapsed="false">
      <c r="A10" s="13" t="s">
        <v>164</v>
      </c>
      <c r="B10" s="14" t="s">
        <v>165</v>
      </c>
      <c r="C10" s="14" t="s">
        <v>166</v>
      </c>
      <c r="D10" s="14" t="s">
        <v>167</v>
      </c>
      <c r="E10" s="11" t="n">
        <v>7</v>
      </c>
      <c r="F10" s="11" t="n">
        <v>8</v>
      </c>
      <c r="G10" s="11" t="n">
        <v>6</v>
      </c>
      <c r="H10" s="11" t="n">
        <v>13</v>
      </c>
      <c r="I10" s="15" t="n">
        <f aca="false">SUM(E10:H10)</f>
        <v>34</v>
      </c>
      <c r="J10" s="11" t="n">
        <v>4</v>
      </c>
      <c r="K10" s="17" t="n">
        <f aca="false">ROUND(('Global Tuning'!$B$3*('Global Tuning'!$B$4+(F10-1)*('Global Tuning'!$B$5-'Global Tuning'!$B$4)/9))*J10,0)</f>
        <v>5289</v>
      </c>
      <c r="L10" s="16" t="n">
        <f aca="false">ROUND(K10*0.66,0)</f>
        <v>3491</v>
      </c>
      <c r="M10" s="16" t="n">
        <f aca="false">ROUND(K10*0.33,0)</f>
        <v>1745</v>
      </c>
      <c r="N10" s="18" t="s">
        <v>168</v>
      </c>
    </row>
    <row r="11" customFormat="false" ht="15" hidden="false" customHeight="false" outlineLevel="0" collapsed="false">
      <c r="A11" s="13" t="s">
        <v>169</v>
      </c>
      <c r="B11" s="14" t="s">
        <v>170</v>
      </c>
      <c r="C11" s="14" t="s">
        <v>171</v>
      </c>
      <c r="D11" s="14" t="s">
        <v>172</v>
      </c>
      <c r="E11" s="11" t="n">
        <v>4</v>
      </c>
      <c r="F11" s="11" t="n">
        <v>10</v>
      </c>
      <c r="G11" s="11" t="n">
        <v>5</v>
      </c>
      <c r="H11" s="11" t="n">
        <v>13</v>
      </c>
      <c r="I11" s="15" t="n">
        <f aca="false">SUM(E11:H11)</f>
        <v>32</v>
      </c>
      <c r="J11" s="11" t="n">
        <v>5</v>
      </c>
      <c r="K11" s="17" t="n">
        <f aca="false">ROUND(('Global Tuning'!$B$3*('Global Tuning'!$B$4+(F11-1)*('Global Tuning'!$B$5-'Global Tuning'!$B$4)/9))*J11,0)</f>
        <v>7500</v>
      </c>
      <c r="L11" s="16" t="n">
        <f aca="false">ROUND(K11*0.66,0)</f>
        <v>4950</v>
      </c>
      <c r="M11" s="16" t="n">
        <f aca="false">ROUND(K11*0.33,0)</f>
        <v>2475</v>
      </c>
      <c r="N11" s="18" t="s">
        <v>173</v>
      </c>
    </row>
    <row r="12" customFormat="false" ht="15" hidden="false" customHeight="false" outlineLevel="0" collapsed="false">
      <c r="A12" s="13" t="s">
        <v>174</v>
      </c>
      <c r="B12" s="14" t="s">
        <v>175</v>
      </c>
      <c r="C12" s="14" t="s">
        <v>176</v>
      </c>
      <c r="D12" s="14" t="s">
        <v>177</v>
      </c>
      <c r="E12" s="11" t="n">
        <v>8</v>
      </c>
      <c r="F12" s="11" t="n">
        <v>12</v>
      </c>
      <c r="G12" s="11" t="n">
        <v>8</v>
      </c>
      <c r="H12" s="11" t="n">
        <v>14</v>
      </c>
      <c r="I12" s="15" t="n">
        <f aca="false">SUM(E12:H12)</f>
        <v>42</v>
      </c>
      <c r="J12" s="11" t="n">
        <v>6</v>
      </c>
      <c r="K12" s="17" t="n">
        <f aca="false">ROUND(('Global Tuning'!$B$3*('Global Tuning'!$B$4+(F12-1)*('Global Tuning'!$B$5-'Global Tuning'!$B$4)/9))*J12,0)</f>
        <v>10067</v>
      </c>
      <c r="L12" s="16" t="n">
        <f aca="false">ROUND(K12*0.66,0)</f>
        <v>6644</v>
      </c>
      <c r="M12" s="16" t="n">
        <f aca="false">ROUND(K12*0.33,0)</f>
        <v>3322</v>
      </c>
      <c r="N12" s="18" t="s">
        <v>178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180</v>
      </c>
      <c r="B2" s="12" t="s">
        <v>181</v>
      </c>
      <c r="C2" s="12" t="s">
        <v>182</v>
      </c>
      <c r="D2" s="12" t="s">
        <v>183</v>
      </c>
      <c r="E2" s="12" t="s">
        <v>184</v>
      </c>
      <c r="F2" s="12" t="s">
        <v>185</v>
      </c>
      <c r="G2" s="12" t="s">
        <v>186</v>
      </c>
      <c r="H2" s="12" t="s">
        <v>45</v>
      </c>
    </row>
    <row r="3" customFormat="false" ht="15" hidden="false" customHeight="false" outlineLevel="0" collapsed="false">
      <c r="A3" s="13" t="s">
        <v>187</v>
      </c>
      <c r="B3" s="19" t="s">
        <v>188</v>
      </c>
      <c r="C3" s="19" t="s">
        <v>189</v>
      </c>
      <c r="D3" s="17" t="n">
        <f aca="false">'Global Tuning'!$B$8</f>
        <v>80</v>
      </c>
      <c r="E3" s="17" t="n">
        <f aca="false">'Global Tuning'!$B$9</f>
        <v>40</v>
      </c>
      <c r="F3" s="19" t="s">
        <v>190</v>
      </c>
      <c r="G3" s="18" t="s">
        <v>191</v>
      </c>
      <c r="H3" s="18" t="s">
        <v>192</v>
      </c>
    </row>
    <row r="4" customFormat="false" ht="15" hidden="false" customHeight="false" outlineLevel="0" collapsed="false">
      <c r="A4" s="13" t="s">
        <v>193</v>
      </c>
      <c r="B4" s="19" t="s">
        <v>194</v>
      </c>
      <c r="C4" s="19" t="s">
        <v>189</v>
      </c>
      <c r="D4" s="17" t="n">
        <f aca="false">'Global Tuning'!$B$10</f>
        <v>200</v>
      </c>
      <c r="E4" s="17" t="n">
        <f aca="false">'Global Tuning'!$B$11</f>
        <v>60</v>
      </c>
      <c r="F4" s="19" t="s">
        <v>190</v>
      </c>
      <c r="G4" s="18" t="s">
        <v>195</v>
      </c>
      <c r="H4" s="18" t="s">
        <v>196</v>
      </c>
    </row>
    <row r="5" customFormat="false" ht="15" hidden="false" customHeight="false" outlineLevel="0" collapsed="false">
      <c r="A5" s="13" t="s">
        <v>197</v>
      </c>
      <c r="B5" s="19" t="s">
        <v>198</v>
      </c>
      <c r="C5" s="19" t="s">
        <v>199</v>
      </c>
      <c r="D5" s="11" t="n">
        <v>60</v>
      </c>
      <c r="E5" s="11" t="n">
        <v>20</v>
      </c>
      <c r="F5" s="19" t="s">
        <v>190</v>
      </c>
      <c r="G5" s="18" t="s">
        <v>200</v>
      </c>
      <c r="H5" s="18" t="s">
        <v>201</v>
      </c>
    </row>
    <row r="6" customFormat="false" ht="15" hidden="false" customHeight="false" outlineLevel="0" collapsed="false">
      <c r="A6" s="13" t="s">
        <v>202</v>
      </c>
      <c r="B6" s="19" t="s">
        <v>194</v>
      </c>
      <c r="C6" s="19" t="s">
        <v>199</v>
      </c>
      <c r="D6" s="11" t="n">
        <v>150</v>
      </c>
      <c r="E6" s="11" t="n">
        <v>50</v>
      </c>
      <c r="F6" s="19" t="s">
        <v>203</v>
      </c>
      <c r="G6" s="18" t="s">
        <v>204</v>
      </c>
      <c r="H6" s="18" t="s">
        <v>205</v>
      </c>
    </row>
    <row r="7" customFormat="false" ht="15" hidden="false" customHeight="false" outlineLevel="0" collapsed="false">
      <c r="A7" s="13" t="s">
        <v>206</v>
      </c>
      <c r="B7" s="19" t="s">
        <v>207</v>
      </c>
      <c r="C7" s="19" t="s">
        <v>208</v>
      </c>
      <c r="D7" s="11" t="n">
        <v>0</v>
      </c>
      <c r="E7" s="11" t="n">
        <v>0</v>
      </c>
      <c r="F7" s="19" t="s">
        <v>209</v>
      </c>
      <c r="G7" s="18" t="s">
        <v>210</v>
      </c>
      <c r="H7" s="18" t="s">
        <v>211</v>
      </c>
    </row>
    <row r="8" customFormat="false" ht="15" hidden="false" customHeight="false" outlineLevel="0" collapsed="false">
      <c r="A8" s="13" t="s">
        <v>212</v>
      </c>
      <c r="B8" s="19" t="s">
        <v>207</v>
      </c>
      <c r="C8" s="19" t="s">
        <v>208</v>
      </c>
      <c r="D8" s="11" t="n">
        <v>0</v>
      </c>
      <c r="E8" s="11" t="n">
        <v>0</v>
      </c>
      <c r="F8" s="19" t="s">
        <v>213</v>
      </c>
      <c r="G8" s="18" t="s">
        <v>214</v>
      </c>
      <c r="H8" s="18" t="s">
        <v>215</v>
      </c>
    </row>
    <row r="9" customFormat="false" ht="15" hidden="false" customHeight="false" outlineLevel="0" collapsed="false">
      <c r="A9" s="13" t="s">
        <v>216</v>
      </c>
      <c r="B9" s="19" t="s">
        <v>207</v>
      </c>
      <c r="C9" s="19" t="s">
        <v>208</v>
      </c>
      <c r="D9" s="11" t="n">
        <v>30</v>
      </c>
      <c r="E9" s="11" t="n">
        <v>0</v>
      </c>
      <c r="F9" s="19" t="s">
        <v>217</v>
      </c>
      <c r="G9" s="18" t="s">
        <v>218</v>
      </c>
      <c r="H9" s="18" t="s">
        <v>219</v>
      </c>
    </row>
    <row r="10" customFormat="false" ht="15" hidden="false" customHeight="false" outlineLevel="0" collapsed="false">
      <c r="A10" s="13" t="s">
        <v>220</v>
      </c>
      <c r="B10" s="19" t="s">
        <v>188</v>
      </c>
      <c r="C10" s="19" t="s">
        <v>199</v>
      </c>
      <c r="D10" s="11" t="n">
        <v>20</v>
      </c>
      <c r="E10" s="11" t="n">
        <v>0</v>
      </c>
      <c r="F10" s="19" t="s">
        <v>221</v>
      </c>
      <c r="G10" s="18" t="s">
        <v>222</v>
      </c>
      <c r="H10" s="18" t="s">
        <v>223</v>
      </c>
    </row>
    <row r="11" customFormat="false" ht="15" hidden="false" customHeight="false" outlineLevel="0" collapsed="false">
      <c r="A11" s="13" t="s">
        <v>224</v>
      </c>
      <c r="B11" s="19" t="s">
        <v>194</v>
      </c>
      <c r="C11" s="19" t="s">
        <v>199</v>
      </c>
      <c r="D11" s="11" t="n">
        <v>40</v>
      </c>
      <c r="E11" s="11" t="n">
        <v>0</v>
      </c>
      <c r="F11" s="19" t="s">
        <v>225</v>
      </c>
      <c r="G11" s="18" t="s">
        <v>226</v>
      </c>
      <c r="H11" s="18" t="s">
        <v>227</v>
      </c>
    </row>
    <row r="12" customFormat="false" ht="15" hidden="false" customHeight="false" outlineLevel="0" collapsed="false">
      <c r="A12" s="13" t="s">
        <v>228</v>
      </c>
      <c r="B12" s="19" t="s">
        <v>229</v>
      </c>
      <c r="C12" s="19" t="s">
        <v>208</v>
      </c>
      <c r="D12" s="11" t="n">
        <v>120</v>
      </c>
      <c r="E12" s="11" t="n">
        <v>0</v>
      </c>
      <c r="F12" s="19" t="s">
        <v>230</v>
      </c>
      <c r="G12" s="18" t="s">
        <v>231</v>
      </c>
      <c r="H12" s="18" t="s">
        <v>232</v>
      </c>
    </row>
    <row r="13" customFormat="false" ht="15" hidden="false" customHeight="false" outlineLevel="0" collapsed="false">
      <c r="A13" s="13" t="s">
        <v>233</v>
      </c>
      <c r="B13" s="19" t="s">
        <v>207</v>
      </c>
      <c r="C13" s="19" t="s">
        <v>208</v>
      </c>
      <c r="D13" s="11" t="n">
        <v>15</v>
      </c>
      <c r="E13" s="11" t="n">
        <v>0</v>
      </c>
      <c r="F13" s="19" t="s">
        <v>234</v>
      </c>
      <c r="G13" s="18" t="s">
        <v>235</v>
      </c>
      <c r="H13" s="18" t="s">
        <v>236</v>
      </c>
    </row>
    <row r="14" customFormat="false" ht="15" hidden="false" customHeight="false" outlineLevel="0" collapsed="false">
      <c r="A14" s="13" t="s">
        <v>237</v>
      </c>
      <c r="B14" s="19" t="s">
        <v>194</v>
      </c>
      <c r="C14" s="19" t="s">
        <v>199</v>
      </c>
      <c r="D14" s="11" t="n">
        <v>0</v>
      </c>
      <c r="E14" s="11" t="n">
        <v>0</v>
      </c>
      <c r="F14" s="19" t="s">
        <v>238</v>
      </c>
      <c r="G14" s="18" t="s">
        <v>239</v>
      </c>
      <c r="H14" s="18" t="s">
        <v>240</v>
      </c>
    </row>
    <row r="15" customFormat="false" ht="15" hidden="false" customHeight="false" outlineLevel="0" collapsed="false">
      <c r="A15" s="13" t="s">
        <v>241</v>
      </c>
      <c r="B15" s="19" t="s">
        <v>207</v>
      </c>
      <c r="C15" s="19" t="s">
        <v>208</v>
      </c>
      <c r="D15" s="11" t="n">
        <v>400</v>
      </c>
      <c r="E15" s="11" t="n">
        <v>100</v>
      </c>
      <c r="F15" s="19" t="s">
        <v>242</v>
      </c>
      <c r="G15" s="18" t="s">
        <v>243</v>
      </c>
      <c r="H15" s="18" t="s">
        <v>244</v>
      </c>
    </row>
    <row r="16" customFormat="false" ht="15" hidden="false" customHeight="false" outlineLevel="0" collapsed="false">
      <c r="A16" s="13" t="s">
        <v>245</v>
      </c>
      <c r="B16" s="19" t="s">
        <v>190</v>
      </c>
      <c r="C16" s="19" t="s">
        <v>189</v>
      </c>
      <c r="D16" s="11" t="n">
        <v>0</v>
      </c>
      <c r="E16" s="11" t="n">
        <v>0</v>
      </c>
      <c r="F16" s="19" t="s">
        <v>246</v>
      </c>
      <c r="G16" s="18" t="s">
        <v>247</v>
      </c>
      <c r="H16" s="18" t="s">
        <v>248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2026-05-29T21:01:40Z</dcterms:created>
  <dc:creator>openpyxl</dc:creator>
  <dc:description/>
  <dc:language>en-US</dc:language>
  <cp:lastModifiedBy/>
  <dcterms:modified xsi:type="dcterms:W3CDTF">2026-05-29T21:01:40Z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